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6d8d245fe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75e6f99e6a0c470d"/>
    <x:sheet xmlns:r="http://schemas.openxmlformats.org/officeDocument/2006/relationships" name="逐次记录" sheetId="2" r:id="R2b0f99b64758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#,##0"/>
    <x:numFmt numFmtId="203" formatCode="0.0%"/>
  </x:numFmts>
  <x:fonts count="5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b/>
      <x:sz val="15"/>
      <x:color rgb="FF263C59"/>
      <x:name val="Microsoft YaHei"/>
    </x:font>
    <x:font>
      <x:b/>
      <x:sz val="10"/>
      <x:color rgb="FF22222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9"/>
      </x:patternFill>
    </x:fill>
    <x:fill>
      <x:patternFill patternType="solid">
        <x:fgColor rgb="FFE9ED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4C2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9C2525"/>
      </x:font>
      <x:fill>
        <x:patternFill patternType="solid">
          <x:bgColor rgb="FFFCE8E6"/>
        </x:patternFill>
      </x:fill>
    </x:dxf>
    <x:dxf>
      <x:font>
        <x:color rgb="FF8A5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74d7a5dec48fd" /><Relationship Type="http://schemas.openxmlformats.org/officeDocument/2006/relationships/theme" Target="/xl/theme/theme1.xml" Id="R3619b06ad8ba4417" /><Relationship Type="http://schemas.openxmlformats.org/officeDocument/2006/relationships/sharedStrings" Target="/xl/sharedStrings.xml" Id="R1a72da1b1ef143c1" /><Relationship Type="http://schemas.openxmlformats.org/officeDocument/2006/relationships/worksheet" Target="/xl/worksheets/sheet1.xml" Id="R75e6f99e6a0c470d" /><Relationship Type="http://schemas.openxmlformats.org/officeDocument/2006/relationships/worksheet" Target="/xl/worksheets/sheet2.xml" Id="R2b0f99b6475846f6" /></Relationships>
</file>

<file path=xl/tables/table1.xml><?xml version="1.0" encoding="utf-8"?>
<x:table xmlns:x="http://schemas.openxmlformats.org/spreadsheetml/2006/main" id="1" name="PilotRuns" displayName="PilotRuns" ref="A1:P41" headerRowCount="1" totalsRowCount="0" totalsRowShown="0">
  <x:tableColumns count="16">
    <x:tableColumn id="1" name="run_id"/>
    <x:tableColumn id="2" name="场景"/>
    <x:tableColumn id="3" name="组别"/>
    <x:tableColumn id="4" name="类别"/>
    <x:tableColumn id="5" name="可执行 1/0"/>
    <x:tableColumn id="6" name="客观成功 1/0"/>
    <x:tableColumn id="7" name="正确受阻 1/0"/>
    <x:tableColumn id="8" name="用时（秒）"/>
    <x:tableColumn id="9" name="LLM调用"/>
    <x:tableColumn id="10" name="实际动作"/>
    <x:tableColumn id="11" name="总Token"/>
    <x:tableColumn id="12" name="归因"/>
    <x:tableColumn id="13" name="日志复核"/>
    <x:tableColumn id="14" name="说明问题"/>
    <x:tableColumn id="15" name="证据定位"/>
    <x:tableColumn id="16" name="错误宣告完成 1/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17f6be65534ca7" /></Relationships>
</file>

<file path=xl/worksheets/sheet1.xml><?xml version="1.0" encoding="utf-8"?>
<x:worksheet xmlns:x="http://schemas.openxmlformats.org/spreadsheetml/2006/main">
  <x:sheetPr>
    <x:tabColor rgb="FF263C59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61" hidden="0" customWidth="1"/>
  </x:cols>
  <x:sheetData>
    <x:row r="1">
      <x:c r="A1" s="2"/>
      <x:c r="B1" s="2"/>
      <x:c r="C1" s="2"/>
      <x:c r="D1" s="2"/>
    </x:row>
    <x:row r="2">
      <x:c r="A2" s="12" t="str">
        <x:v>女仆 AI：40 次真实 LLM 预实验</x:v>
      </x:c>
      <x:c r="B2" s="2"/>
      <x:c r="C2" s="2"/>
      <x:c r="D2" s="2"/>
    </x:row>
    <x:row r="3">
      <x:c r="A3" s="13" t="str">
        <x:v>2026-10-25 · deepseek-flash · 每个场景每组各 1 次</x:v>
      </x:c>
      <x:c r="B3" s="13"/>
      <x:c r="C3" s="13"/>
      <x:c r="D3" s="13"/>
    </x:row>
    <x:row r="4" ht="28" customHeight="1">
      <x:c r="A4" s="14" t="str">
        <x:v>指标</x:v>
      </x:c>
      <x:c r="B4" s="14" t="str">
        <x:v>A：固定计划</x:v>
      </x:c>
      <x:c r="C4" s="14" t="str">
        <x:v>B：逐步反馈</x:v>
      </x:c>
      <x:c r="D4" s="14" t="str">
        <x:v>统计说明</x:v>
      </x:c>
    </x:row>
    <x:row r="5" ht="30" customHeight="1">
      <x:c r="A5" s="2" t="str">
        <x:v>完成记录数</x:v>
      </x:c>
      <x:c r="B5" s="10" t="n">
        <x:f>COUNTIFS('逐次记录'!$C$2:$C$41,"A")</x:f>
        <x:v>20</x:v>
      </x:c>
      <x:c r="C5" s="10" t="n">
        <x:f>COUNTIFS('逐次记录'!$C$2:$C$41,"B")</x:f>
        <x:v>20</x:v>
      </x:c>
      <x:c r="D5" s="7" t="str">
        <x:v>  每组 20 次，没有缺失或中断。</x:v>
      </x:c>
    </x:row>
    <x:row r="6" ht="30" customHeight="1">
      <x:c r="A6" s="2" t="str">
        <x:v>可执行任务数</x:v>
      </x:c>
      <x:c r="B6" s="10" t="n">
        <x:f>COUNTIFS('逐次记录'!$C$2:$C$41,"A",'逐次记录'!$E$2:$E$41,1)</x:f>
        <x:v>15</x:v>
      </x:c>
      <x:c r="C6" s="10" t="n">
        <x:f>COUNTIFS('逐次记录'!$C$2:$C$41,"B",'逐次记录'!$E$2:$E$41,1)</x:f>
        <x:v>15</x:v>
      </x:c>
      <x:c r="D6" s="7" t="str">
        <x:v>  每组 15 次；另有 5 个预设不可完成场景。</x:v>
      </x:c>
    </x:row>
    <x:row r="7" ht="30" customHeight="1">
      <x:c r="A7" s="2" t="str">
        <x:v>客观完成数</x:v>
      </x:c>
      <x:c r="B7" s="10" t="n">
        <x:f>SUMIFS('逐次记录'!$F$2:$F$41,'逐次记录'!$C$2:$C$41,"A")</x:f>
        <x:v>10</x:v>
      </x:c>
      <x:c r="C7" s="10" t="n">
        <x:f>SUMIFS('逐次记录'!$F$2:$F$41,'逐次记录'!$C$2:$C$41,"B")</x:f>
        <x:v>15</x:v>
      </x:c>
      <x:c r="D7" s="7" t="str">
        <x:v>  以最终世界状态和约束为准，保留全部失败。</x:v>
      </x:c>
    </x:row>
    <x:row r="8" ht="30" customHeight="1">
      <x:c r="A8" s="2" t="str">
        <x:v>可执行任务成功率</x:v>
      </x:c>
      <x:c r="B8" s="15" t="n">
        <x:f>B7/B6</x:f>
        <x:v>0.6666666666666666</x:v>
      </x:c>
      <x:c r="C8" s="15" t="n">
        <x:f>C7/C6</x:f>
        <x:v>1</x:v>
      </x:c>
      <x:c r="D8" s="7" t="str">
        <x:v>  成功数 ÷ 15；不可完成场景不进入分母。</x:v>
      </x:c>
    </x:row>
    <x:row r="9" ht="30" customHeight="1">
      <x:c r="A9" s="2" t="str">
        <x:v>单步骤成功数</x:v>
      </x:c>
      <x:c r="B9" s="10" t="n">
        <x:f>COUNTIFS('逐次记录'!$C$2:$C$41,"A",'逐次记录'!$D$2:$D$41,"单步骤",'逐次记录'!$F$2:$F$41,1)</x:f>
        <x:v>4</x:v>
      </x:c>
      <x:c r="C9" s="10" t="n">
        <x:f>COUNTIFS('逐次记录'!$C$2:$C$41,"B",'逐次记录'!$D$2:$D$41,"单步骤",'逐次记录'!$F$2:$F$41,1)</x:f>
        <x:v>5</x:v>
      </x:c>
      <x:c r="D9" s="7" t="str">
        <x:v>  每组 5 次。</x:v>
      </x:c>
    </x:row>
    <x:row r="10" ht="30" customHeight="1">
      <x:c r="A10" s="2" t="str">
        <x:v>多步骤成功数</x:v>
      </x:c>
      <x:c r="B10" s="10" t="n">
        <x:f>COUNTIFS('逐次记录'!$C$2:$C$41,"A",'逐次记录'!$D$2:$D$41,"多步骤",'逐次记录'!$F$2:$F$41,1)</x:f>
        <x:v>5</x:v>
      </x:c>
      <x:c r="C10" s="10" t="n">
        <x:f>COUNTIFS('逐次记录'!$C$2:$C$41,"B",'逐次记录'!$D$2:$D$41,"多步骤",'逐次记录'!$F$2:$F$41,1)</x:f>
        <x:v>5</x:v>
      </x:c>
      <x:c r="D10" s="7" t="str">
        <x:v>  每组 5 次。</x:v>
      </x:c>
    </x:row>
    <x:row r="11" ht="30" customHeight="1">
      <x:c r="A11" s="2" t="str">
        <x:v>环境变化成功数</x:v>
      </x:c>
      <x:c r="B11" s="10" t="n">
        <x:f>COUNTIFS('逐次记录'!$C$2:$C$41,"A",'逐次记录'!$D$2:$D$41,"环境变化",'逐次记录'!$F$2:$F$41,1)</x:f>
        <x:v>1</x:v>
      </x:c>
      <x:c r="C11" s="10" t="n">
        <x:f>COUNTIFS('逐次记录'!$C$2:$C$41,"B",'逐次记录'!$D$2:$D$41,"环境变化",'逐次记录'!$F$2:$F$41,1)</x:f>
        <x:v>5</x:v>
      </x:c>
      <x:c r="D11" s="7" t="str">
        <x:v>  每组 5 次，必须实际触发扰动。</x:v>
      </x:c>
    </x:row>
    <x:row r="12" ht="30" customHeight="1">
      <x:c r="A12" s="2" t="str">
        <x:v>正确说明受阻数</x:v>
      </x:c>
      <x:c r="B12" s="10" t="n">
        <x:f>SUMIFS('逐次记录'!$G$2:$G$41,'逐次记录'!$C$2:$C$41,"A")</x:f>
        <x:v>4</x:v>
      </x:c>
      <x:c r="C12" s="10" t="n">
        <x:f>SUMIFS('逐次记录'!$G$2:$G$41,'逐次记录'!$C$2:$C$41,"B")</x:f>
        <x:v>5</x:v>
      </x:c>
      <x:c r="D12" s="7" t="str">
        <x:v>  各 5 次中，明确解释实际障碍并停止的次数。</x:v>
      </x:c>
    </x:row>
    <x:row r="13" ht="30" customHeight="1">
      <x:c r="A13" s="2" t="str">
        <x:v>错误宣告完成数</x:v>
      </x:c>
      <x:c r="B13" s="10" t="n">
        <x:f>SUMIFS('逐次记录'!$P$2:$P$41,'逐次记录'!$C$2:$C$41,"A")</x:f>
        <x:v>0</x:v>
      </x:c>
      <x:c r="C13" s="10" t="n">
        <x:f>SUMIFS('逐次记录'!$P$2:$P$41,'逐次记录'!$C$2:$C$41,"B")</x:f>
        <x:v>0</x:v>
      </x:c>
      <x:c r="D13" s="7" t="str">
        <x:v>  包括任务成功信号和已复核的自然语言结论。</x:v>
      </x:c>
    </x:row>
    <x:row r="14" ht="30" customHeight="1">
      <x:c r="A14" s="2" t="str">
        <x:v>接口或响应错误数</x:v>
      </x:c>
      <x:c r="B14" s="10" t="n">
        <x:v>0</x:v>
      </x:c>
      <x:c r="C14" s="10" t="n">
        <x:v>0</x:v>
      </x:c>
      <x:c r="D14" s="7" t="str">
        <x:v>  所有 171 次试次请求均收到可解析的真实模型响应。</x:v>
      </x:c>
    </x:row>
    <x:row r="15" ht="30" customHeight="1">
      <x:c r="A15" s="2" t="str">
        <x:v>LLM 调用总数</x:v>
      </x:c>
      <x:c r="B15" s="10" t="n">
        <x:f>SUMIFS('逐次记录'!$I$2:$I$41,'逐次记录'!$C$2:$C$41,"A")</x:f>
        <x:v>69</x:v>
      </x:c>
      <x:c r="C15" s="10" t="n">
        <x:f>SUMIFS('逐次记录'!$I$2:$I$41,'逐次记录'!$C$2:$C$41,"B")</x:f>
        <x:v>102</x:v>
      </x:c>
      <x:c r="D15" s="7" t="str">
        <x:v>  每组全部 20 次任务；另有 2 次连通性检查不计入。</x:v>
      </x:c>
    </x:row>
    <x:row r="16" ht="30" customHeight="1">
      <x:c r="A16" s="2" t="str">
        <x:v>Token 总数</x:v>
      </x:c>
      <x:c r="B16" s="10" t="n">
        <x:f>SUMIFS('逐次记录'!$K$2:$K$41,'逐次记录'!$C$2:$C$41,"A")</x:f>
        <x:v>262565</x:v>
      </x:c>
      <x:c r="C16" s="10" t="n">
        <x:f>SUMIFS('逐次记录'!$K$2:$K$41,'逐次记录'!$C$2:$C$41,"B")</x:f>
        <x:v>470614</x:v>
      </x:c>
      <x:c r="D16" s="7" t="str">
        <x:v>  输入与输出合计，缓存输入也计入；不等于费用。</x:v>
      </x:c>
    </x:row>
    <x:row r="17">
      <x:c r="A17" s="2"/>
      <x:c r="B17" s="2"/>
      <x:c r="C17" s="2"/>
      <x:c r="D17" s="2"/>
    </x:row>
    <x:row r="18">
      <x:c r="A18" s="2" t="str">
        <x:v>双方均成功的 10 对任务：B 比 A 多用时的中位数为 3.79 秒。</x:v>
      </x:c>
      <x:c r="B18" s="2"/>
      <x:c r="C18" s="2"/>
      <x:c r="D18" s="2"/>
    </x:row>
    <x:row r="19">
      <x:c r="A19" s="2"/>
      <x:c r="B19" s="2"/>
      <x:c r="C19" s="2"/>
      <x:c r="D19" s="2"/>
    </x:row>
    <x:row r="20" ht="25" customHeight="1">
      <x:c r="A20" s="17" t="str">
        <x:v>失败归因</x:v>
      </x:c>
      <x:c r="B20" s="18" t="str">
        <x:v>A</x:v>
      </x:c>
      <x:c r="C20" s="18" t="str">
        <x:v>B</x:v>
      </x:c>
      <x:c r="D20" s="2"/>
    </x:row>
    <x:row r="21" ht="30" customHeight="1">
      <x:c r="A21" s="2" t="str">
        <x:v>固定计划遇到变化后不能调整</x:v>
      </x:c>
      <x:c r="B21" s="2" t="n">
        <x:f>COUNTIFS('逐次记录'!$C$2:$C$41,"A",'逐次记录'!$L$2:$L$41,"策略限制")</x:f>
        <x:v>4</x:v>
      </x:c>
      <x:c r="C21" s="2" t="n">
        <x:f>COUNTIFS('逐次记录'!$C$2:$C$41,"B",'逐次记录'!$L$2:$L$41,"策略限制")</x:f>
        <x:v>0</x:v>
      </x:c>
      <x:c r="D21" s="7" t="str">
        <x:v>  D1、D2、D3、D5：固定计划在失败后停止。</x:v>
      </x:c>
    </x:row>
    <x:row r="22" ht="30" customHeight="1">
      <x:c r="A22" s="2" t="str">
        <x:v>通用移动动作的站位问题</x:v>
      </x:c>
      <x:c r="B22" s="2" t="n">
        <x:f>COUNTIFS('逐次记录'!$C$2:$C$41,"A",'逐次记录'!$L$2:$L$41,"程序问题")</x:f>
        <x:v>1</x:v>
      </x:c>
      <x:c r="C22" s="2" t="n">
        <x:f>COUNTIFS('逐次记录'!$C$2:$C$41,"B",'逐次记录'!$L$2:$L$41,"程序问题")</x:f>
        <x:v>0</x:v>
      </x:c>
      <x:c r="D22" s="7" t="str">
        <x:v>  S5：无 LLM 检查已复现，直接砍树可收齐 3 个原木。</x:v>
      </x:c>
    </x:row>
    <x:row r="23" ht="30" customHeight="1">
      <x:c r="A23" s="2" t="str">
        <x:v>受阻说明不充分（另计）</x:v>
      </x:c>
      <x:c r="B23" s="2" t="n">
        <x:f>COUNTIFS('逐次记录'!$C$2:$C$41,"A",'逐次记录'!$L$2:$L$41,"受阻说明不足")</x:f>
        <x:v>1</x:v>
      </x:c>
      <x:c r="C23" s="2" t="n">
        <x:f>COUNTIFS('逐次记录'!$C$2:$C$41,"B",'逐次记录'!$L$2:$L$41,"受阻说明不足")</x:f>
        <x:v>0</x:v>
      </x:c>
      <x:c r="D23" s="7" t="str">
        <x:v>  N4-A：只提示“如果失败”，未确认已经受阻。</x:v>
      </x:c>
    </x:row>
    <x:row r="24">
      <x:c r="A24" s="2"/>
      <x:c r="B24" s="2"/>
      <x:c r="C24" s="2"/>
      <x:c r="D24" s="2"/>
    </x:row>
    <x:row r="25" ht="24" customHeight="1">
      <x:c r="A25" s="2" t="str">
        <x:v>仅每场景每组 1 次。这是预实验结果，不能据此宣称稳定成功率或统计显著优势。</x:v>
      </x:c>
      <x:c r="B25" s="2"/>
      <x:c r="C25" s="2"/>
      <x:c r="D25" s="2"/>
    </x:row>
    <x:row r="26" ht="24" customHeight="1">
      <x:c r="A26" s="2" t="str">
        <x:v>受阻说明由 Codex 依据日志复核；尚无独立人工复核。解释中的数字错误另列在逐次记录。</x:v>
      </x:c>
      <x:c r="B26" s="2"/>
      <x:c r="C26" s="2"/>
      <x:c r="D26" s="2"/>
    </x:row>
    <x:row r="27" ht="24" customHeight="1">
      <x:c r="A27" s="2" t="str">
        <x:v>M1-A 实际完成，但反复查进度触发 tool_limit。模型的胡萝卜株数、背包格数说明也有错误。</x:v>
      </x:c>
      <x:c r="B27" s="2"/>
      <x:c r="C27" s="2"/>
      <x:c r="D27" s="2"/>
    </x:row>
    <x:row r="28" ht="24" customHeight="1">
      <x:c r="A28" s="2" t="str">
        <x:v>实际参数：max_tokens 1024、HTTP 超时 45 秒、工具轮数 4；每试次限 300 秒、8 个动作。</x:v>
      </x:c>
      <x:c r="B28" s="2"/>
      <x:c r="C28" s="2"/>
      <x:c r="D28" s="2"/>
    </x:row>
    <x:row r="29" ht="24" customHeight="1">
      <x:c r="A29" s="2" t="str">
        <x:v>数据来源：会话 pilot-20261025-01 的原始任务 JSON、events.jsonl 与 navigation-diagnostic.json。</x:v>
      </x:c>
      <x:c r="B29" s="2"/>
      <x:c r="C29" s="2"/>
      <x:c r="D29" s="2"/>
    </x:row>
    <x:row r="30">
      <x:c r="A30" s="2"/>
      <x:c r="B30" s="2"/>
      <x:c r="C30" s="2"/>
      <x:c r="D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8" hidden="0" customWidth="1"/>
    <x:col min="4" max="4" width="13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8" hidden="0" customWidth="1"/>
    <x:col min="13" max="13" width="64" hidden="0" customWidth="1"/>
    <x:col min="14" max="14" width="64" hidden="0" customWidth="1"/>
    <x:col min="15" max="15" width="48" hidden="0" customWidth="1"/>
    <x:col min="16" max="16" width="19" hidden="0" customWidth="1"/>
  </x:cols>
  <x:sheetData>
    <x:row r="1" ht="34" customHeight="1">
      <x:c r="A1" s="6" t="str">
        <x:v>run_id</x:v>
      </x:c>
      <x:c r="B1" s="6" t="str">
        <x:v>场景</x:v>
      </x:c>
      <x:c r="C1" s="6" t="str">
        <x:v>组别</x:v>
      </x:c>
      <x:c r="D1" s="6" t="str">
        <x:v>类别</x:v>
      </x:c>
      <x:c r="E1" s="6" t="str">
        <x:v>可执行 1/0</x:v>
      </x:c>
      <x:c r="F1" s="6" t="str">
        <x:v>客观成功 1/0</x:v>
      </x:c>
      <x:c r="G1" s="6" t="str">
        <x:v>正确受阻 1/0</x:v>
      </x:c>
      <x:c r="H1" s="6" t="str">
        <x:v>用时（秒）</x:v>
      </x:c>
      <x:c r="I1" s="6" t="str">
        <x:v>LLM调用</x:v>
      </x:c>
      <x:c r="J1" s="6" t="str">
        <x:v>实际动作</x:v>
      </x:c>
      <x:c r="K1" s="6" t="str">
        <x:v>总Token</x:v>
      </x:c>
      <x:c r="L1" s="6" t="str">
        <x:v>归因</x:v>
      </x:c>
      <x:c r="M1" s="6" t="str">
        <x:v>日志复核</x:v>
      </x:c>
      <x:c r="N1" s="6" t="str">
        <x:v>说明问题</x:v>
      </x:c>
      <x:c r="O1" s="6" t="str">
        <x:v>证据定位</x:v>
      </x:c>
      <x:c r="P1" s="6" t="str">
        <x:v>错误宣告完成 1/0</x:v>
      </x:c>
    </x:row>
    <x:row r="2" ht="48" customHeight="1">
      <x:c r="A2" s="2" t="str">
        <x:v>D1-1-A</x:v>
      </x:c>
      <x:c r="B2" s="7" t="str">
        <x:v>箱子中途装满</x:v>
      </x:c>
      <x:c r="C2" s="2" t="str">
        <x:v>A</x:v>
      </x:c>
      <x:c r="D2" s="2" t="str">
        <x:v>环境变化</x:v>
      </x:c>
      <x:c r="E2" s="8" t="n">
        <x:v>1</x:v>
      </x:c>
      <x:c r="F2" s="8" t="n">
        <x:v>0</x:v>
      </x:c>
      <x:c r="G2" s="8"/>
      <x:c r="H2" s="9" t="n">
        <x:v>7.528</x:v>
      </x:c>
      <x:c r="I2" s="10" t="n">
        <x:v>4</x:v>
      </x:c>
      <x:c r="J2" s="10" t="n">
        <x:v>2</x:v>
      </x:c>
      <x:c r="K2" s="10" t="n">
        <x:v>15034</x:v>
      </x:c>
      <x:c r="L2" s="2" t="str">
        <x:v>策略限制</x:v>
      </x:c>
      <x:c r="M2" s="7" t="str">
        <x:v>主箱填满后只转入1个，余下2个仍在背包；chest_full 使固定计划停止，不能改用备用箱。</x:v>
      </x:c>
      <x:c r="N2" s="7" t="str"/>
      <x:c r="O2" s="7" t="str">
        <x:v>D1-1-A.json; events.jsonl:1-25</x:v>
      </x:c>
      <x:c r="P2" s="11" t="n">
        <x:v>0</x:v>
      </x:c>
    </x:row>
    <x:row r="3" ht="48" customHeight="1">
      <x:c r="A3" s="2" t="str">
        <x:v>D1-1-B</x:v>
      </x:c>
      <x:c r="B3" s="7" t="str">
        <x:v>箱子中途装满</x:v>
      </x:c>
      <x:c r="C3" s="2" t="str">
        <x:v>B</x:v>
      </x:c>
      <x:c r="D3" s="2" t="str">
        <x:v>环境变化</x:v>
      </x:c>
      <x:c r="E3" s="8" t="n">
        <x:v>1</x:v>
      </x:c>
      <x:c r="F3" s="8" t="n">
        <x:v>1</x:v>
      </x:c>
      <x:c r="G3" s="8"/>
      <x:c r="H3" s="9" t="n">
        <x:v>18.65</x:v>
      </x:c>
      <x:c r="I3" s="10" t="n">
        <x:v>7</x:v>
      </x:c>
      <x:c r="J3" s="10" t="n">
        <x:v>4</x:v>
      </x:c>
      <x:c r="K3" s="10" t="n">
        <x:v>39701</x:v>
      </x:c>
      <x:c r="L3" s="2" t="str">
        <x:v>完成</x:v>
      </x:c>
      <x:c r="M3" s="7" t="str">
        <x:v>世界目标与物品保护约束均满足。 实际转入A 1个、B 2个，背包小麦0。 最终距主人2.60格。</x:v>
      </x:c>
      <x:c r="N3" s="7" t="str"/>
      <x:c r="O3" s="7" t="str">
        <x:v>D1-1-B.json; events.jsonl:26-70</x:v>
      </x:c>
      <x:c r="P3" s="11" t="n">
        <x:v>0</x:v>
      </x:c>
    </x:row>
    <x:row r="4" ht="48" customHeight="1">
      <x:c r="A4" s="2" t="str">
        <x:v>M2-1-A</x:v>
      </x:c>
      <x:c r="B4" s="7" t="str">
        <x:v>收胡萝卜、存箱、返回</x:v>
      </x:c>
      <x:c r="C4" s="2" t="str">
        <x:v>A</x:v>
      </x:c>
      <x:c r="D4" s="2" t="str">
        <x:v>多步骤</x:v>
      </x:c>
      <x:c r="E4" s="8" t="n">
        <x:v>1</x:v>
      </x:c>
      <x:c r="F4" s="8" t="n">
        <x:v>1</x:v>
      </x:c>
      <x:c r="G4" s="8"/>
      <x:c r="H4" s="9" t="n">
        <x:v>8.196</x:v>
      </x:c>
      <x:c r="I4" s="10" t="n">
        <x:v>3</x:v>
      </x:c>
      <x:c r="J4" s="10" t="n">
        <x:v>3</x:v>
      </x:c>
      <x:c r="K4" s="10" t="n">
        <x:v>11196</x:v>
      </x:c>
      <x:c r="L4" s="2" t="str">
        <x:v>完成</x:v>
      </x:c>
      <x:c r="M4" s="7" t="str">
        <x:v>世界目标与物品保护约束均满足。 最终距主人2.72格。</x:v>
      </x:c>
      <x:c r="N4" s="7" t="str">
        <x:v>把3株成熟作物与3根产物混淆，推测不会有余量；实际箱中3根、背包还剩1根。</x:v>
      </x:c>
      <x:c r="O4" s="7" t="str">
        <x:v>M2-1-A.json; events.jsonl:71-94</x:v>
      </x:c>
      <x:c r="P4" s="11" t="n">
        <x:v>0</x:v>
      </x:c>
    </x:row>
    <x:row r="5" ht="48" customHeight="1">
      <x:c r="A5" s="2" t="str">
        <x:v>M2-1-B</x:v>
      </x:c>
      <x:c r="B5" s="7" t="str">
        <x:v>收胡萝卜、存箱、返回</x:v>
      </x:c>
      <x:c r="C5" s="2" t="str">
        <x:v>B</x:v>
      </x:c>
      <x:c r="D5" s="2" t="str">
        <x:v>多步骤</x:v>
      </x:c>
      <x:c r="E5" s="8" t="n">
        <x:v>1</x:v>
      </x:c>
      <x:c r="F5" s="8" t="n">
        <x:v>1</x:v>
      </x:c>
      <x:c r="G5" s="8"/>
      <x:c r="H5" s="9" t="n">
        <x:v>13.625</x:v>
      </x:c>
      <x:c r="I5" s="10" t="n">
        <x:v>6</x:v>
      </x:c>
      <x:c r="J5" s="10" t="n">
        <x:v>3</x:v>
      </x:c>
      <x:c r="K5" s="10" t="n">
        <x:v>30848</x:v>
      </x:c>
      <x:c r="L5" s="2" t="str">
        <x:v>完成</x:v>
      </x:c>
      <x:c r="M5" s="7" t="str">
        <x:v>世界目标与物品保护约束均满足。 最终距主人2.58格。</x:v>
      </x:c>
      <x:c r="N5" s="7" t="str">
        <x:v>声称3株全部收获，实际只有1株收获并补种，另外2株仍成熟；存入3根和返回均真实完成。</x:v>
      </x:c>
      <x:c r="O5" s="7" t="str">
        <x:v>M2-1-B.json; events.jsonl:95-131</x:v>
      </x:c>
      <x:c r="P5" s="11" t="n">
        <x:v>0</x:v>
      </x:c>
    </x:row>
    <x:row r="6" ht="48" customHeight="1">
      <x:c r="A6" s="2" t="str">
        <x:v>N2-1-A</x:v>
      </x:c>
      <x:c r="B6" s="7" t="str">
        <x:v>两个箱子都满</x:v>
      </x:c>
      <x:c r="C6" s="2" t="str">
        <x:v>A</x:v>
      </x:c>
      <x:c r="D6" s="2" t="str">
        <x:v>不可完成</x:v>
      </x:c>
      <x:c r="E6" s="8" t="n">
        <x:v>0</x:v>
      </x:c>
      <x:c r="F6" s="8" t="n">
        <x:v>0</x:v>
      </x:c>
      <x:c r="G6" s="8" t="n">
        <x:v>1</x:v>
      </x:c>
      <x:c r="H6" s="9" t="n">
        <x:v>5.203</x:v>
      </x:c>
      <x:c r="I6" s="10" t="n">
        <x:v>3</x:v>
      </x:c>
      <x:c r="J6" s="10" t="n">
        <x:v>1</x:v>
      </x:c>
      <x:c r="K6" s="10" t="n">
        <x:v>10084</x:v>
      </x:c>
      <x:c r="L6" s="2" t="str">
        <x:v>预设受阻</x:v>
      </x:c>
      <x:c r="M6" s="7" t="str">
        <x:v>两个指定箱子均满；说明无空间，未改用其他箱子，3个小麦完整保留。</x:v>
      </x:c>
      <x:c r="N6" s="7" t="str"/>
      <x:c r="O6" s="7" t="str">
        <x:v>N2-1-A.json; events.jsonl:132-149</x:v>
      </x:c>
      <x:c r="P6" s="11" t="n">
        <x:v>0</x:v>
      </x:c>
    </x:row>
    <x:row r="7" ht="48" customHeight="1">
      <x:c r="A7" s="2" t="str">
        <x:v>N2-1-B</x:v>
      </x:c>
      <x:c r="B7" s="7" t="str">
        <x:v>两个箱子都满</x:v>
      </x:c>
      <x:c r="C7" s="2" t="str">
        <x:v>B</x:v>
      </x:c>
      <x:c r="D7" s="2" t="str">
        <x:v>不可完成</x:v>
      </x:c>
      <x:c r="E7" s="8" t="n">
        <x:v>0</x:v>
      </x:c>
      <x:c r="F7" s="8" t="n">
        <x:v>0</x:v>
      </x:c>
      <x:c r="G7" s="8" t="n">
        <x:v>1</x:v>
      </x:c>
      <x:c r="H7" s="9" t="n">
        <x:v>2.867</x:v>
      </x:c>
      <x:c r="I7" s="10" t="n">
        <x:v>2</x:v>
      </x:c>
      <x:c r="J7" s="10" t="n">
        <x:v>0</x:v>
      </x:c>
      <x:c r="K7" s="10" t="n">
        <x:v>4579</x:v>
      </x:c>
      <x:c r="L7" s="2" t="str">
        <x:v>预设受阻</x:v>
      </x:c>
      <x:c r="M7" s="7" t="str">
        <x:v>两个指定箱子均满；说明无空间，未改用其他箱子，3个小麦完整保留。</x:v>
      </x:c>
      <x:c r="N7" s="7" t="str"/>
      <x:c r="O7" s="7" t="str">
        <x:v>N2-1-B.json; events.jsonl:150-160</x:v>
      </x:c>
      <x:c r="P7" s="11" t="n">
        <x:v>0</x:v>
      </x:c>
    </x:row>
    <x:row r="8" ht="48" customHeight="1">
      <x:c r="A8" s="2" t="str">
        <x:v>M4-1-A</x:v>
      </x:c>
      <x:c r="B8" s="7" t="str">
        <x:v>小麦分装两箱</x:v>
      </x:c>
      <x:c r="C8" s="2" t="str">
        <x:v>A</x:v>
      </x:c>
      <x:c r="D8" s="2" t="str">
        <x:v>多步骤</x:v>
      </x:c>
      <x:c r="E8" s="8" t="n">
        <x:v>1</x:v>
      </x:c>
      <x:c r="F8" s="8" t="n">
        <x:v>1</x:v>
      </x:c>
      <x:c r="G8" s="8"/>
      <x:c r="H8" s="9" t="n">
        <x:v>10.105</x:v>
      </x:c>
      <x:c r="I8" s="10" t="n">
        <x:v>3</x:v>
      </x:c>
      <x:c r="J8" s="10" t="n">
        <x:v>3</x:v>
      </x:c>
      <x:c r="K8" s="10" t="n">
        <x:v>10206</x:v>
      </x:c>
      <x:c r="L8" s="2" t="str">
        <x:v>完成</x:v>
      </x:c>
      <x:c r="M8" s="7" t="str">
        <x:v>世界目标与物品保护约束均满足。 最终距主人2.73格。</x:v>
      </x:c>
      <x:c r="N8" s="7" t="str"/>
      <x:c r="O8" s="7" t="str">
        <x:v>M4-1-A.json; events.jsonl:161-182</x:v>
      </x:c>
      <x:c r="P8" s="11" t="n">
        <x:v>0</x:v>
      </x:c>
    </x:row>
    <x:row r="9" ht="48" customHeight="1">
      <x:c r="A9" s="2" t="str">
        <x:v>M4-1-B</x:v>
      </x:c>
      <x:c r="B9" s="7" t="str">
        <x:v>小麦分装两箱</x:v>
      </x:c>
      <x:c r="C9" s="2" t="str">
        <x:v>B</x:v>
      </x:c>
      <x:c r="D9" s="2" t="str">
        <x:v>多步骤</x:v>
      </x:c>
      <x:c r="E9" s="8" t="n">
        <x:v>1</x:v>
      </x:c>
      <x:c r="F9" s="8" t="n">
        <x:v>1</x:v>
      </x:c>
      <x:c r="G9" s="8"/>
      <x:c r="H9" s="9" t="n">
        <x:v>15.944</x:v>
      </x:c>
      <x:c r="I9" s="10" t="n">
        <x:v>6</x:v>
      </x:c>
      <x:c r="J9" s="10" t="n">
        <x:v>3</x:v>
      </x:c>
      <x:c r="K9" s="10" t="n">
        <x:v>27506</x:v>
      </x:c>
      <x:c r="L9" s="2" t="str">
        <x:v>完成</x:v>
      </x:c>
      <x:c r="M9" s="7" t="str">
        <x:v>世界目标与物品保护约束均满足。 最终距主人2.61格。</x:v>
      </x:c>
      <x:c r="N9" s="7" t="str"/>
      <x:c r="O9" s="7" t="str">
        <x:v>M4-1-B.json; events.jsonl:183-218</x:v>
      </x:c>
      <x:c r="P9" s="11" t="n">
        <x:v>0</x:v>
      </x:c>
    </x:row>
    <x:row r="10" ht="48" customHeight="1">
      <x:c r="A10" s="2" t="str">
        <x:v>S4-1-A</x:v>
      </x:c>
      <x:c r="B10" s="7" t="str">
        <x:v>存3个小麦并保留余量</x:v>
      </x:c>
      <x:c r="C10" s="2" t="str">
        <x:v>A</x:v>
      </x:c>
      <x:c r="D10" s="2" t="str">
        <x:v>单步骤</x:v>
      </x:c>
      <x:c r="E10" s="8" t="n">
        <x:v>1</x:v>
      </x:c>
      <x:c r="F10" s="8" t="n">
        <x:v>1</x:v>
      </x:c>
      <x:c r="G10" s="8"/>
      <x:c r="H10" s="9" t="n">
        <x:v>4.5</x:v>
      </x:c>
      <x:c r="I10" s="10" t="n">
        <x:v>3</x:v>
      </x:c>
      <x:c r="J10" s="10" t="n">
        <x:v>1</x:v>
      </x:c>
      <x:c r="K10" s="10" t="n">
        <x:v>9449</x:v>
      </x:c>
      <x:c r="L10" s="2" t="str">
        <x:v>完成</x:v>
      </x:c>
      <x:c r="M10" s="7" t="str">
        <x:v>世界目标与物品保护约束均满足。</x:v>
      </x:c>
      <x:c r="N10" s="7" t="str"/>
      <x:c r="O10" s="7" t="str">
        <x:v>S4-1-A.json; events.jsonl:219-236</x:v>
      </x:c>
      <x:c r="P10" s="11" t="n">
        <x:v>0</x:v>
      </x:c>
    </x:row>
    <x:row r="11" ht="48" customHeight="1">
      <x:c r="A11" s="2" t="str">
        <x:v>S4-1-B</x:v>
      </x:c>
      <x:c r="B11" s="7" t="str">
        <x:v>存3个小麦并保留余量</x:v>
      </x:c>
      <x:c r="C11" s="2" t="str">
        <x:v>B</x:v>
      </x:c>
      <x:c r="D11" s="2" t="str">
        <x:v>单步骤</x:v>
      </x:c>
      <x:c r="E11" s="8" t="n">
        <x:v>1</x:v>
      </x:c>
      <x:c r="F11" s="8" t="n">
        <x:v>1</x:v>
      </x:c>
      <x:c r="G11" s="8"/>
      <x:c r="H11" s="9" t="n">
        <x:v>6.903</x:v>
      </x:c>
      <x:c r="I11" s="10" t="n">
        <x:v>4</x:v>
      </x:c>
      <x:c r="J11" s="10" t="n">
        <x:v>1</x:v>
      </x:c>
      <x:c r="K11" s="10" t="n">
        <x:v>13930</x:v>
      </x:c>
      <x:c r="L11" s="2" t="str">
        <x:v>完成</x:v>
      </x:c>
      <x:c r="M11" s="7" t="str">
        <x:v>世界目标与物品保护约束均满足。</x:v>
      </x:c>
      <x:c r="N11" s="7" t="str"/>
      <x:c r="O11" s="7" t="str">
        <x:v>S4-1-B.json; events.jsonl:237-260</x:v>
      </x:c>
      <x:c r="P11" s="11" t="n">
        <x:v>0</x:v>
      </x:c>
    </x:row>
    <x:row r="12" ht="48" customHeight="1">
      <x:c r="A12" s="2" t="str">
        <x:v>N1-1-B</x:v>
      </x:c>
      <x:c r="B12" s="7" t="str">
        <x:v>没有成熟小麦</x:v>
      </x:c>
      <x:c r="C12" s="2" t="str">
        <x:v>B</x:v>
      </x:c>
      <x:c r="D12" s="2" t="str">
        <x:v>不可完成</x:v>
      </x:c>
      <x:c r="E12" s="8" t="n">
        <x:v>0</x:v>
      </x:c>
      <x:c r="F12" s="8" t="n">
        <x:v>0</x:v>
      </x:c>
      <x:c r="G12" s="8" t="n">
        <x:v>1</x:v>
      </x:c>
      <x:c r="H12" s="9" t="n">
        <x:v>5.002</x:v>
      </x:c>
      <x:c r="I12" s="10" t="n">
        <x:v>4</x:v>
      </x:c>
      <x:c r="J12" s="10" t="n">
        <x:v>1</x:v>
      </x:c>
      <x:c r="K12" s="10" t="n">
        <x:v>14643</x:v>
      </x:c>
      <x:c r="L12" s="2" t="str">
        <x:v>预设受阻</x:v>
      </x:c>
      <x:c r="M12" s="7" t="str">
        <x:v>没有小麦库存和成熟作物；明确说明 insufficient_wheat、不等待生长并停止。</x:v>
      </x:c>
      <x:c r="N12" s="7" t="str"/>
      <x:c r="O12" s="7" t="str">
        <x:v>N1-1-B.json; events.jsonl:261-283</x:v>
      </x:c>
      <x:c r="P12" s="11" t="n">
        <x:v>0</x:v>
      </x:c>
    </x:row>
    <x:row r="13" ht="48" customHeight="1">
      <x:c r="A13" s="2" t="str">
        <x:v>N1-1-A</x:v>
      </x:c>
      <x:c r="B13" s="7" t="str">
        <x:v>没有成熟小麦</x:v>
      </x:c>
      <x:c r="C13" s="2" t="str">
        <x:v>A</x:v>
      </x:c>
      <x:c r="D13" s="2" t="str">
        <x:v>不可完成</x:v>
      </x:c>
      <x:c r="E13" s="8" t="n">
        <x:v>0</x:v>
      </x:c>
      <x:c r="F13" s="8" t="n">
        <x:v>0</x:v>
      </x:c>
      <x:c r="G13" s="8" t="n">
        <x:v>1</x:v>
      </x:c>
      <x:c r="H13" s="9" t="n">
        <x:v>5.401</x:v>
      </x:c>
      <x:c r="I13" s="10" t="n">
        <x:v>4</x:v>
      </x:c>
      <x:c r="J13" s="10" t="n">
        <x:v>1</x:v>
      </x:c>
      <x:c r="K13" s="10" t="n">
        <x:v>15950</x:v>
      </x:c>
      <x:c r="L13" s="2" t="str">
        <x:v>预设受阻</x:v>
      </x:c>
      <x:c r="M13" s="7" t="str">
        <x:v>没有小麦库存和成熟作物；明确说明 insufficient_wheat、不等待生长并停止。</x:v>
      </x:c>
      <x:c r="N13" s="7" t="str"/>
      <x:c r="O13" s="7" t="str">
        <x:v>N1-1-A.json; events.jsonl:284-303</x:v>
      </x:c>
      <x:c r="P13" s="11" t="n">
        <x:v>0</x:v>
      </x:c>
    </x:row>
    <x:row r="14" ht="48" customHeight="1">
      <x:c r="A14" s="2" t="str">
        <x:v>N5-1-A</x:v>
      </x:c>
      <x:c r="B14" s="7" t="str">
        <x:v>背包全满</x:v>
      </x:c>
      <x:c r="C14" s="2" t="str">
        <x:v>A</x:v>
      </x:c>
      <x:c r="D14" s="2" t="str">
        <x:v>不可完成</x:v>
      </x:c>
      <x:c r="E14" s="8" t="n">
        <x:v>0</x:v>
      </x:c>
      <x:c r="F14" s="8" t="n">
        <x:v>0</x:v>
      </x:c>
      <x:c r="G14" s="8" t="n">
        <x:v>1</x:v>
      </x:c>
      <x:c r="H14" s="9" t="n">
        <x:v>5.8</x:v>
      </x:c>
      <x:c r="I14" s="10" t="n">
        <x:v>4</x:v>
      </x:c>
      <x:c r="J14" s="10" t="n">
        <x:v>1</x:v>
      </x:c>
      <x:c r="K14" s="10" t="n">
        <x:v>25422</x:v>
      </x:c>
      <x:c r="L14" s="2" t="str">
        <x:v>预设受阻</x:v>
      </x:c>
      <x:c r="M14" s="7" t="str">
        <x:v>动作返回 inventory_full；说明不得丢弃或转存已有物品，因此停止。原有物品和成熟作物均保留。</x:v>
      </x:c>
      <x:c r="N14" s="7" t="str">
        <x:v>将背包说成36格（35格石头+1格种子）；源码实际35格，记录为34格石头+1格种子。主要受阻原因判断正确。</x:v>
      </x:c>
      <x:c r="O14" s="7" t="str">
        <x:v>N5-1-A.json; events.jsonl:304-323</x:v>
      </x:c>
      <x:c r="P14" s="11" t="n">
        <x:v>0</x:v>
      </x:c>
    </x:row>
    <x:row r="15" ht="48" customHeight="1">
      <x:c r="A15" s="2" t="str">
        <x:v>N5-1-B</x:v>
      </x:c>
      <x:c r="B15" s="7" t="str">
        <x:v>背包全满</x:v>
      </x:c>
      <x:c r="C15" s="2" t="str">
        <x:v>B</x:v>
      </x:c>
      <x:c r="D15" s="2" t="str">
        <x:v>不可完成</x:v>
      </x:c>
      <x:c r="E15" s="8" t="n">
        <x:v>0</x:v>
      </x:c>
      <x:c r="F15" s="8" t="n">
        <x:v>0</x:v>
      </x:c>
      <x:c r="G15" s="8" t="n">
        <x:v>1</x:v>
      </x:c>
      <x:c r="H15" s="9" t="n">
        <x:v>5.435</x:v>
      </x:c>
      <x:c r="I15" s="10" t="n">
        <x:v>4</x:v>
      </x:c>
      <x:c r="J15" s="10" t="n">
        <x:v>1</x:v>
      </x:c>
      <x:c r="K15" s="10" t="n">
        <x:v>24964</x:v>
      </x:c>
      <x:c r="L15" s="2" t="str">
        <x:v>预设受阻</x:v>
      </x:c>
      <x:c r="M15" s="7" t="str">
        <x:v>动作返回 inventory_full；说明不得丢弃或转存已有物品，因此停止。原有物品和成熟作物均保留。</x:v>
      </x:c>
      <x:c r="N15" s="7" t="str">
        <x:v>将背包说成36格（35格石头+1格种子）；源码实际35格，记录为34格石头+1格种子。主要受阻原因判断正确。</x:v>
      </x:c>
      <x:c r="O15" s="7" t="str">
        <x:v>N5-1-B.json; events.jsonl:324-347</x:v>
      </x:c>
      <x:c r="P15" s="11" t="n">
        <x:v>0</x:v>
      </x:c>
    </x:row>
    <x:row r="16" ht="48" customHeight="1">
      <x:c r="A16" s="2" t="str">
        <x:v>D2-1-A</x:v>
      </x:c>
      <x:c r="B16" s="7" t="str">
        <x:v>箱子中途被移除</x:v>
      </x:c>
      <x:c r="C16" s="2" t="str">
        <x:v>A</x:v>
      </x:c>
      <x:c r="D16" s="2" t="str">
        <x:v>环境变化</x:v>
      </x:c>
      <x:c r="E16" s="8" t="n">
        <x:v>1</x:v>
      </x:c>
      <x:c r="F16" s="8" t="n">
        <x:v>0</x:v>
      </x:c>
      <x:c r="G16" s="8"/>
      <x:c r="H16" s="9" t="n">
        <x:v>3.536</x:v>
      </x:c>
      <x:c r="I16" s="10" t="n">
        <x:v>3</x:v>
      </x:c>
      <x:c r="J16" s="10" t="n">
        <x:v>1</x:v>
      </x:c>
      <x:c r="K16" s="10" t="n">
        <x:v>9987</x:v>
      </x:c>
      <x:c r="L16" s="2" t="str">
        <x:v>策略限制</x:v>
      </x:c>
      <x:c r="M16" s="7" t="str">
        <x:v>主箱被实验脚本移除；chest_changed，转入0个，3个仍在背包；固定计划不能切换备用箱。</x:v>
      </x:c>
      <x:c r="N16" s="7" t="str"/>
      <x:c r="O16" s="7" t="str">
        <x:v>D2-1-A.json; events.jsonl:348-366</x:v>
      </x:c>
      <x:c r="P16" s="11" t="n">
        <x:v>0</x:v>
      </x:c>
    </x:row>
    <x:row r="17" ht="48" customHeight="1">
      <x:c r="A17" s="2" t="str">
        <x:v>D2-1-B</x:v>
      </x:c>
      <x:c r="B17" s="7" t="str">
        <x:v>箱子中途被移除</x:v>
      </x:c>
      <x:c r="C17" s="2" t="str">
        <x:v>B</x:v>
      </x:c>
      <x:c r="D17" s="2" t="str">
        <x:v>环境变化</x:v>
      </x:c>
      <x:c r="E17" s="8" t="n">
        <x:v>1</x:v>
      </x:c>
      <x:c r="F17" s="8" t="n">
        <x:v>1</x:v>
      </x:c>
      <x:c r="G17" s="8"/>
      <x:c r="H17" s="9" t="n">
        <x:v>16.177</x:v>
      </x:c>
      <x:c r="I17" s="10" t="n">
        <x:v>8</x:v>
      </x:c>
      <x:c r="J17" s="10" t="n">
        <x:v>3</x:v>
      </x:c>
      <x:c r="K17" s="10" t="n">
        <x:v>38135</x:v>
      </x:c>
      <x:c r="L17" s="2" t="str">
        <x:v>完成</x:v>
      </x:c>
      <x:c r="M17" s="7" t="str">
        <x:v>世界目标与物品保护约束均满足。 实际转入A 0个、B 3个，背包小麦0。 最终距主人2.67格。</x:v>
      </x:c>
      <x:c r="N17" s="7" t="str"/>
      <x:c r="O17" s="7" t="str">
        <x:v>D2-1-B.json; events.jsonl:367-406</x:v>
      </x:c>
      <x:c r="P17" s="11" t="n">
        <x:v>0</x:v>
      </x:c>
    </x:row>
    <x:row r="18" ht="48" customHeight="1">
      <x:c r="A18" s="2" t="str">
        <x:v>N3-1-B</x:v>
      </x:c>
      <x:c r="B18" s="7" t="str">
        <x:v>没有斧头</x:v>
      </x:c>
      <x:c r="C18" s="2" t="str">
        <x:v>B</x:v>
      </x:c>
      <x:c r="D18" s="2" t="str">
        <x:v>不可完成</x:v>
      </x:c>
      <x:c r="E18" s="8" t="n">
        <x:v>0</x:v>
      </x:c>
      <x:c r="F18" s="8" t="n">
        <x:v>0</x:v>
      </x:c>
      <x:c r="G18" s="8" t="n">
        <x:v>1</x:v>
      </x:c>
      <x:c r="H18" s="9" t="n">
        <x:v>2.899</x:v>
      </x:c>
      <x:c r="I18" s="10" t="n">
        <x:v>2</x:v>
      </x:c>
      <x:c r="J18" s="10" t="n">
        <x:v>0</x:v>
      </x:c>
      <x:c r="K18" s="10" t="n">
        <x:v>4986</x:v>
      </x:c>
      <x:c r="L18" s="2" t="str">
        <x:v>预设受阻</x:v>
      </x:c>
      <x:c r="M18" s="7" t="str">
        <x:v>库存和主手均无斧头；明确说明缺少斧头并停止，3段原木保持完整。</x:v>
      </x:c>
      <x:c r="N18" s="7" t="str">
        <x:v>额外要求提供存放箱子坐标，但原任务只要求收集原木；实际主要障碍仍是缺少斧头。</x:v>
      </x:c>
      <x:c r="O18" s="7" t="str">
        <x:v>N3-1-B.json; events.jsonl:407-417</x:v>
      </x:c>
      <x:c r="P18" s="11" t="n">
        <x:v>0</x:v>
      </x:c>
    </x:row>
    <x:row r="19" ht="48" customHeight="1">
      <x:c r="A19" s="2" t="str">
        <x:v>N3-1-A</x:v>
      </x:c>
      <x:c r="B19" s="7" t="str">
        <x:v>没有斧头</x:v>
      </x:c>
      <x:c r="C19" s="2" t="str">
        <x:v>A</x:v>
      </x:c>
      <x:c r="D19" s="2" t="str">
        <x:v>不可完成</x:v>
      </x:c>
      <x:c r="E19" s="8" t="n">
        <x:v>0</x:v>
      </x:c>
      <x:c r="F19" s="8" t="n">
        <x:v>0</x:v>
      </x:c>
      <x:c r="G19" s="8" t="n">
        <x:v>1</x:v>
      </x:c>
      <x:c r="H19" s="9" t="n">
        <x:v>1.899</x:v>
      </x:c>
      <x:c r="I19" s="10" t="n">
        <x:v>2</x:v>
      </x:c>
      <x:c r="J19" s="10" t="n">
        <x:v>0</x:v>
      </x:c>
      <x:c r="K19" s="10" t="n">
        <x:v>6109</x:v>
      </x:c>
      <x:c r="L19" s="2" t="str">
        <x:v>预设受阻</x:v>
      </x:c>
      <x:c r="M19" s="7" t="str">
        <x:v>库存和主手均无斧头；明确说明缺少斧头并停止，3段原木保持完整。</x:v>
      </x:c>
      <x:c r="N19" s="7" t="str"/>
      <x:c r="O19" s="7" t="str">
        <x:v>N3-1-A.json; events.jsonl:418-428</x:v>
      </x:c>
      <x:c r="P19" s="11" t="n">
        <x:v>0</x:v>
      </x:c>
    </x:row>
    <x:row r="20" ht="48" customHeight="1">
      <x:c r="A20" s="2" t="str">
        <x:v>M5-1-A</x:v>
      </x:c>
      <x:c r="B20" s="7" t="str">
        <x:v>两种物品分别入箱</x:v>
      </x:c>
      <x:c r="C20" s="2" t="str">
        <x:v>A</x:v>
      </x:c>
      <x:c r="D20" s="2" t="str">
        <x:v>多步骤</x:v>
      </x:c>
      <x:c r="E20" s="8" t="n">
        <x:v>1</x:v>
      </x:c>
      <x:c r="F20" s="8" t="n">
        <x:v>1</x:v>
      </x:c>
      <x:c r="G20" s="8"/>
      <x:c r="H20" s="9" t="n">
        <x:v>9.971</x:v>
      </x:c>
      <x:c r="I20" s="10" t="n">
        <x:v>4</x:v>
      </x:c>
      <x:c r="J20" s="10" t="n">
        <x:v>3</x:v>
      </x:c>
      <x:c r="K20" s="10" t="n">
        <x:v>15260</x:v>
      </x:c>
      <x:c r="L20" s="2" t="str">
        <x:v>完成</x:v>
      </x:c>
      <x:c r="M20" s="7" t="str">
        <x:v>世界目标与物品保护约束均满足。 最终距主人2.73格。</x:v>
      </x:c>
      <x:c r="N20" s="7" t="str"/>
      <x:c r="O20" s="7" t="str">
        <x:v>M5-1-A.json; events.jsonl:429-452</x:v>
      </x:c>
      <x:c r="P20" s="11" t="n">
        <x:v>0</x:v>
      </x:c>
    </x:row>
    <x:row r="21" ht="48" customHeight="1">
      <x:c r="A21" s="2" t="str">
        <x:v>M5-1-B</x:v>
      </x:c>
      <x:c r="B21" s="7" t="str">
        <x:v>两种物品分别入箱</x:v>
      </x:c>
      <x:c r="C21" s="2" t="str">
        <x:v>B</x:v>
      </x:c>
      <x:c r="D21" s="2" t="str">
        <x:v>多步骤</x:v>
      </x:c>
      <x:c r="E21" s="8" t="n">
        <x:v>1</x:v>
      </x:c>
      <x:c r="F21" s="8" t="n">
        <x:v>1</x:v>
      </x:c>
      <x:c r="G21" s="8"/>
      <x:c r="H21" s="9" t="n">
        <x:v>14.255</x:v>
      </x:c>
      <x:c r="I21" s="10" t="n">
        <x:v>6</x:v>
      </x:c>
      <x:c r="J21" s="10" t="n">
        <x:v>3</x:v>
      </x:c>
      <x:c r="K21" s="10" t="n">
        <x:v>27766</x:v>
      </x:c>
      <x:c r="L21" s="2" t="str">
        <x:v>完成</x:v>
      </x:c>
      <x:c r="M21" s="7" t="str">
        <x:v>世界目标与物品保护约束均满足。 最终距主人2.61格。</x:v>
      </x:c>
      <x:c r="N21" s="7" t="str"/>
      <x:c r="O21" s="7" t="str">
        <x:v>M5-1-B.json; events.jsonl:453-488</x:v>
      </x:c>
      <x:c r="P21" s="11" t="n">
        <x:v>0</x:v>
      </x:c>
    </x:row>
    <x:row r="22" ht="48" customHeight="1">
      <x:c r="A22" s="2" t="str">
        <x:v>D4-1-A</x:v>
      </x:c>
      <x:c r="B22" s="7" t="str">
        <x:v>主人中途移动</x:v>
      </x:c>
      <x:c r="C22" s="2" t="str">
        <x:v>A</x:v>
      </x:c>
      <x:c r="D22" s="2" t="str">
        <x:v>环境变化</x:v>
      </x:c>
      <x:c r="E22" s="8" t="n">
        <x:v>1</x:v>
      </x:c>
      <x:c r="F22" s="8" t="n">
        <x:v>1</x:v>
      </x:c>
      <x:c r="G22" s="8"/>
      <x:c r="H22" s="9" t="n">
        <x:v>8.638</x:v>
      </x:c>
      <x:c r="I22" s="10" t="n">
        <x:v>3</x:v>
      </x:c>
      <x:c r="J22" s="10" t="n">
        <x:v>2</x:v>
      </x:c>
      <x:c r="K22" s="10" t="n">
        <x:v>9586</x:v>
      </x:c>
      <x:c r="L22" s="2" t="str">
        <x:v>完成</x:v>
      </x:c>
      <x:c r="M22" s="7" t="str">
        <x:v>世界目标与物品保护约束均满足。 最终距主人2.71格。</x:v>
      </x:c>
      <x:c r="N22" s="7" t="str"/>
      <x:c r="O22" s="7" t="str">
        <x:v>D4-1-A.json; events.jsonl:489-509</x:v>
      </x:c>
      <x:c r="P22" s="11" t="n">
        <x:v>0</x:v>
      </x:c>
    </x:row>
    <x:row r="23" ht="48" customHeight="1">
      <x:c r="A23" s="2" t="str">
        <x:v>D4-1-B</x:v>
      </x:c>
      <x:c r="B23" s="7" t="str">
        <x:v>主人中途移动</x:v>
      </x:c>
      <x:c r="C23" s="2" t="str">
        <x:v>B</x:v>
      </x:c>
      <x:c r="D23" s="2" t="str">
        <x:v>环境变化</x:v>
      </x:c>
      <x:c r="E23" s="8" t="n">
        <x:v>1</x:v>
      </x:c>
      <x:c r="F23" s="8" t="n">
        <x:v>1</x:v>
      </x:c>
      <x:c r="G23" s="8"/>
      <x:c r="H23" s="9" t="n">
        <x:v>11.941</x:v>
      </x:c>
      <x:c r="I23" s="10" t="n">
        <x:v>5</x:v>
      </x:c>
      <x:c r="J23" s="10" t="n">
        <x:v>2</x:v>
      </x:c>
      <x:c r="K23" s="10" t="n">
        <x:v>19957</x:v>
      </x:c>
      <x:c r="L23" s="2" t="str">
        <x:v>完成</x:v>
      </x:c>
      <x:c r="M23" s="7" t="str">
        <x:v>世界目标与物品保护约束均满足。 最终距主人2.57格。</x:v>
      </x:c>
      <x:c r="N23" s="7" t="str"/>
      <x:c r="O23" s="7" t="str">
        <x:v>D4-1-B.json; events.jsonl:510-540</x:v>
      </x:c>
      <x:c r="P23" s="11" t="n">
        <x:v>0</x:v>
      </x:c>
    </x:row>
    <x:row r="24" ht="48" customHeight="1">
      <x:c r="A24" s="2" t="str">
        <x:v>S2-1-B</x:v>
      </x:c>
      <x:c r="B24" s="7" t="str">
        <x:v>走到指定位置</x:v>
      </x:c>
      <x:c r="C24" s="2" t="str">
        <x:v>B</x:v>
      </x:c>
      <x:c r="D24" s="2" t="str">
        <x:v>单步骤</x:v>
      </x:c>
      <x:c r="E24" s="8" t="n">
        <x:v>1</x:v>
      </x:c>
      <x:c r="F24" s="8" t="n">
        <x:v>1</x:v>
      </x:c>
      <x:c r="G24" s="8"/>
      <x:c r="H24" s="9" t="n">
        <x:v>8.805</x:v>
      </x:c>
      <x:c r="I24" s="10" t="n">
        <x:v>4</x:v>
      </x:c>
      <x:c r="J24" s="10" t="n">
        <x:v>1</x:v>
      </x:c>
      <x:c r="K24" s="10" t="n">
        <x:v>12239</x:v>
      </x:c>
      <x:c r="L24" s="2" t="str">
        <x:v>完成</x:v>
      </x:c>
      <x:c r="M24" s="7" t="str">
        <x:v>世界目标与物品保护约束均满足。</x:v>
      </x:c>
      <x:c r="N24" s="7" t="str"/>
      <x:c r="O24" s="7" t="str">
        <x:v>S2-1-B.json; events.jsonl:541-564</x:v>
      </x:c>
      <x:c r="P24" s="11" t="n">
        <x:v>0</x:v>
      </x:c>
    </x:row>
    <x:row r="25" ht="48" customHeight="1">
      <x:c r="A25" s="2" t="str">
        <x:v>S2-1-A</x:v>
      </x:c>
      <x:c r="B25" s="7" t="str">
        <x:v>走到指定位置</x:v>
      </x:c>
      <x:c r="C25" s="2" t="str">
        <x:v>A</x:v>
      </x:c>
      <x:c r="D25" s="2" t="str">
        <x:v>单步骤</x:v>
      </x:c>
      <x:c r="E25" s="8" t="n">
        <x:v>1</x:v>
      </x:c>
      <x:c r="F25" s="8" t="n">
        <x:v>1</x:v>
      </x:c>
      <x:c r="G25" s="8"/>
      <x:c r="H25" s="9" t="n">
        <x:v>6.47</x:v>
      </x:c>
      <x:c r="I25" s="10" t="n">
        <x:v>3</x:v>
      </x:c>
      <x:c r="J25" s="10" t="n">
        <x:v>1</x:v>
      </x:c>
      <x:c r="K25" s="10" t="n">
        <x:v>9146</x:v>
      </x:c>
      <x:c r="L25" s="2" t="str">
        <x:v>完成</x:v>
      </x:c>
      <x:c r="M25" s="7" t="str">
        <x:v>世界目标与物品保护约束均满足。</x:v>
      </x:c>
      <x:c r="N25" s="7" t="str"/>
      <x:c r="O25" s="7" t="str">
        <x:v>S2-1-A.json; events.jsonl:565-582</x:v>
      </x:c>
      <x:c r="P25" s="11" t="n">
        <x:v>0</x:v>
      </x:c>
    </x:row>
    <x:row r="26" ht="48" customHeight="1">
      <x:c r="A26" s="2" t="str">
        <x:v>S5-1-A</x:v>
      </x:c>
      <x:c r="B26" s="7" t="str">
        <x:v>砍树并收集全部原木</x:v>
      </x:c>
      <x:c r="C26" s="2" t="str">
        <x:v>A</x:v>
      </x:c>
      <x:c r="D26" s="2" t="str">
        <x:v>单步骤</x:v>
      </x:c>
      <x:c r="E26" s="8" t="n">
        <x:v>1</x:v>
      </x:c>
      <x:c r="F26" s="8" t="n">
        <x:v>0</x:v>
      </x:c>
      <x:c r="G26" s="8"/>
      <x:c r="H26" s="9" t="n">
        <x:v>7.938</x:v>
      </x:c>
      <x:c r="I26" s="10" t="n">
        <x:v>4</x:v>
      </x:c>
      <x:c r="J26" s="10" t="n">
        <x:v>1</x:v>
      </x:c>
      <x:c r="K26" s="10" t="n">
        <x:v>16055</x:v>
      </x:c>
      <x:c r="L26" s="2" t="str">
        <x:v>程序问题</x:v>
      </x:c>
      <x:c r="M26" s="7" t="str">
        <x:v>合法计划先 move_to 树目标再 chop_tree；移动返回 unreachable，砍树被跳过。无LLM复现确认：观察按3格可选站位，移动按2.5格无站位；直接砍树收齐3个。</x:v>
      </x:c>
      <x:c r="N26" s="7" t="str"/>
      <x:c r="O26" s="7" t="str">
        <x:v>S5-1-A.json; events.jsonl:583-602</x:v>
      </x:c>
      <x:c r="P26" s="11" t="n">
        <x:v>0</x:v>
      </x:c>
    </x:row>
    <x:row r="27" ht="48" customHeight="1">
      <x:c r="A27" s="2" t="str">
        <x:v>S5-1-B</x:v>
      </x:c>
      <x:c r="B27" s="7" t="str">
        <x:v>砍树并收集全部原木</x:v>
      </x:c>
      <x:c r="C27" s="2" t="str">
        <x:v>B</x:v>
      </x:c>
      <x:c r="D27" s="2" t="str">
        <x:v>单步骤</x:v>
      </x:c>
      <x:c r="E27" s="8" t="n">
        <x:v>1</x:v>
      </x:c>
      <x:c r="F27" s="8" t="n">
        <x:v>1</x:v>
      </x:c>
      <x:c r="G27" s="8"/>
      <x:c r="H27" s="9" t="n">
        <x:v>7.904</x:v>
      </x:c>
      <x:c r="I27" s="10" t="n">
        <x:v>4</x:v>
      </x:c>
      <x:c r="J27" s="10" t="n">
        <x:v>1</x:v>
      </x:c>
      <x:c r="K27" s="10" t="n">
        <x:v>14418</x:v>
      </x:c>
      <x:c r="L27" s="2" t="str">
        <x:v>完成</x:v>
      </x:c>
      <x:c r="M27" s="7" t="str">
        <x:v>世界目标与物品保护约束均满足。 剩余原木方块0，背包原木3，箱A原木0，斧头消耗3耐久。</x:v>
      </x:c>
      <x:c r="N27" s="7" t="str"/>
      <x:c r="O27" s="7" t="str">
        <x:v>S5-1-B.json; events.jsonl:603-634</x:v>
      </x:c>
      <x:c r="P27" s="11" t="n">
        <x:v>0</x:v>
      </x:c>
    </x:row>
    <x:row r="28" ht="48" customHeight="1">
      <x:c r="A28" s="2" t="str">
        <x:v>M1-1-A</x:v>
      </x:c>
      <x:c r="B28" s="7" t="str">
        <x:v>收麦、存箱、返回</x:v>
      </x:c>
      <x:c r="C28" s="2" t="str">
        <x:v>A</x:v>
      </x:c>
      <x:c r="D28" s="2" t="str">
        <x:v>多步骤</x:v>
      </x:c>
      <x:c r="E28" s="8" t="n">
        <x:v>1</x:v>
      </x:c>
      <x:c r="F28" s="8" t="n">
        <x:v>1</x:v>
      </x:c>
      <x:c r="G28" s="8"/>
      <x:c r="H28" s="9" t="n">
        <x:v>7.337</x:v>
      </x:c>
      <x:c r="I28" s="10" t="n">
        <x:v>5</x:v>
      </x:c>
      <x:c r="J28" s="10" t="n">
        <x:v>3</x:v>
      </x:c>
      <x:c r="K28" s="10" t="n">
        <x:v>22701</x:v>
      </x:c>
      <x:c r="L28" s="2" t="str">
        <x:v>完成</x:v>
      </x:c>
      <x:c r="M28" s="7" t="str">
        <x:v>世界目标与物品保护约束均满足。 最终距主人2.72格。</x:v>
      </x:c>
      <x:c r="N28" s="7" t="str">
        <x:v>连续查询进度触发 maxToolRounds=4 的 tool_limit，未产生最终自然语言答复；游戏计划独立继续并成功。不是 HTTP 错误。</x:v>
      </x:c>
      <x:c r="O28" s="7" t="str">
        <x:v>M1-1-A.json; events.jsonl:635-662</x:v>
      </x:c>
      <x:c r="P28" s="11" t="n">
        <x:v>0</x:v>
      </x:c>
    </x:row>
    <x:row r="29" ht="48" customHeight="1">
      <x:c r="A29" s="2" t="str">
        <x:v>M1-1-B</x:v>
      </x:c>
      <x:c r="B29" s="7" t="str">
        <x:v>收麦、存箱、返回</x:v>
      </x:c>
      <x:c r="C29" s="2" t="str">
        <x:v>B</x:v>
      </x:c>
      <x:c r="D29" s="2" t="str">
        <x:v>多步骤</x:v>
      </x:c>
      <x:c r="E29" s="8" t="n">
        <x:v>1</x:v>
      </x:c>
      <x:c r="F29" s="8" t="n">
        <x:v>1</x:v>
      </x:c>
      <x:c r="G29" s="8"/>
      <x:c r="H29" s="9" t="n">
        <x:v>12.207</x:v>
      </x:c>
      <x:c r="I29" s="10" t="n">
        <x:v>6</x:v>
      </x:c>
      <x:c r="J29" s="10" t="n">
        <x:v>3</x:v>
      </x:c>
      <x:c r="K29" s="10" t="n">
        <x:v>30627</x:v>
      </x:c>
      <x:c r="L29" s="2" t="str">
        <x:v>完成</x:v>
      </x:c>
      <x:c r="M29" s="7" t="str">
        <x:v>世界目标与物品保护约束均满足。 最终距主人2.57格。</x:v>
      </x:c>
      <x:c r="N29" s="7" t="str"/>
      <x:c r="O29" s="7" t="str">
        <x:v>M1-1-B.json; events.jsonl:663-700</x:v>
      </x:c>
      <x:c r="P29" s="11" t="n">
        <x:v>0</x:v>
      </x:c>
    </x:row>
    <x:row r="30" ht="48" customHeight="1">
      <x:c r="A30" s="2" t="str">
        <x:v>D3-1-B</x:v>
      </x:c>
      <x:c r="B30" s="7" t="str">
        <x:v>库存中途减少</x:v>
      </x:c>
      <x:c r="C30" s="2" t="str">
        <x:v>B</x:v>
      </x:c>
      <x:c r="D30" s="2" t="str">
        <x:v>环境变化</x:v>
      </x:c>
      <x:c r="E30" s="8" t="n">
        <x:v>1</x:v>
      </x:c>
      <x:c r="F30" s="8" t="n">
        <x:v>1</x:v>
      </x:c>
      <x:c r="G30" s="8"/>
      <x:c r="H30" s="9" t="n">
        <x:v>13.937</x:v>
      </x:c>
      <x:c r="I30" s="10" t="n">
        <x:v>7</x:v>
      </x:c>
      <x:c r="J30" s="10" t="n">
        <x:v>4</x:v>
      </x:c>
      <x:c r="K30" s="10" t="n">
        <x:v>41056</x:v>
      </x:c>
      <x:c r="L30" s="2" t="str">
        <x:v>完成</x:v>
      </x:c>
      <x:c r="M30" s="7" t="str">
        <x:v>世界目标与物品保护约束均满足。 实际转入A 3个、B 0个，背包小麦0。 最终距主人2.57格。</x:v>
      </x:c>
      <x:c r="N30" s="7" t="str"/>
      <x:c r="O30" s="7" t="str">
        <x:v>D3-1-B.json; events.jsonl:701-744</x:v>
      </x:c>
      <x:c r="P30" s="11" t="n">
        <x:v>0</x:v>
      </x:c>
    </x:row>
    <x:row r="31" ht="48" customHeight="1">
      <x:c r="A31" s="2" t="str">
        <x:v>D3-1-A</x:v>
      </x:c>
      <x:c r="B31" s="7" t="str">
        <x:v>库存中途减少</x:v>
      </x:c>
      <x:c r="C31" s="2" t="str">
        <x:v>A</x:v>
      </x:c>
      <x:c r="D31" s="2" t="str">
        <x:v>环境变化</x:v>
      </x:c>
      <x:c r="E31" s="8" t="n">
        <x:v>1</x:v>
      </x:c>
      <x:c r="F31" s="8" t="n">
        <x:v>0</x:v>
      </x:c>
      <x:c r="G31" s="8"/>
      <x:c r="H31" s="9" t="n">
        <x:v>4</x:v>
      </x:c>
      <x:c r="I31" s="10" t="n">
        <x:v>3</x:v>
      </x:c>
      <x:c r="J31" s="10" t="n">
        <x:v>2</x:v>
      </x:c>
      <x:c r="K31" s="10" t="n">
        <x:v>11248</x:v>
      </x:c>
      <x:c r="L31" s="2" t="str">
        <x:v>策略限制</x:v>
      </x:c>
      <x:c r="M31" s="7" t="str">
        <x:v>存放开始时脚本移走2个小麦，剩1个；inventory_changed，转入0个；固定计划不能重新采收。</x:v>
      </x:c>
      <x:c r="N31" s="7" t="str"/>
      <x:c r="O31" s="7" t="str">
        <x:v>D3-1-A.json; events.jsonl:745-765</x:v>
      </x:c>
      <x:c r="P31" s="11" t="n">
        <x:v>0</x:v>
      </x:c>
    </x:row>
    <x:row r="32" ht="48" customHeight="1">
      <x:c r="A32" s="2" t="str">
        <x:v>M3-1-A</x:v>
      </x:c>
      <x:c r="B32" s="7" t="str">
        <x:v>装备、伐木、存箱、返回</x:v>
      </x:c>
      <x:c r="C32" s="2" t="str">
        <x:v>A</x:v>
      </x:c>
      <x:c r="D32" s="2" t="str">
        <x:v>多步骤</x:v>
      </x:c>
      <x:c r="E32" s="8" t="n">
        <x:v>1</x:v>
      </x:c>
      <x:c r="F32" s="8" t="n">
        <x:v>1</x:v>
      </x:c>
      <x:c r="G32" s="8"/>
      <x:c r="H32" s="9" t="n">
        <x:v>14.051</x:v>
      </x:c>
      <x:c r="I32" s="10" t="n">
        <x:v>4</x:v>
      </x:c>
      <x:c r="J32" s="10" t="n">
        <x:v>4</x:v>
      </x:c>
      <x:c r="K32" s="10" t="n">
        <x:v>14799</x:v>
      </x:c>
      <x:c r="L32" s="2" t="str">
        <x:v>完成</x:v>
      </x:c>
      <x:c r="M32" s="7" t="str">
        <x:v>世界目标与物品保护约束均满足。 剩余原木方块0，背包原木0，箱A原木3，斧头消耗3耐久。 最终距主人2.79格。</x:v>
      </x:c>
      <x:c r="N32" s="7" t="str"/>
      <x:c r="O32" s="7" t="str">
        <x:v>M3-1-A.json; events.jsonl:766-800</x:v>
      </x:c>
      <x:c r="P32" s="11" t="n">
        <x:v>0</x:v>
      </x:c>
    </x:row>
    <x:row r="33" ht="48" customHeight="1">
      <x:c r="A33" s="2" t="str">
        <x:v>M3-1-B</x:v>
      </x:c>
      <x:c r="B33" s="7" t="str">
        <x:v>装备、伐木、存箱、返回</x:v>
      </x:c>
      <x:c r="C33" s="2" t="str">
        <x:v>B</x:v>
      </x:c>
      <x:c r="D33" s="2" t="str">
        <x:v>多步骤</x:v>
      </x:c>
      <x:c r="E33" s="8" t="n">
        <x:v>1</x:v>
      </x:c>
      <x:c r="F33" s="8" t="n">
        <x:v>1</x:v>
      </x:c>
      <x:c r="G33" s="8"/>
      <x:c r="H33" s="9" t="n">
        <x:v>18.474</x:v>
      </x:c>
      <x:c r="I33" s="10" t="n">
        <x:v>7</x:v>
      </x:c>
      <x:c r="J33" s="10" t="n">
        <x:v>4</x:v>
      </x:c>
      <x:c r="K33" s="10" t="n">
        <x:v>41690</x:v>
      </x:c>
      <x:c r="L33" s="2" t="str">
        <x:v>完成</x:v>
      </x:c>
      <x:c r="M33" s="7" t="str">
        <x:v>世界目标与物品保护约束均满足。 剩余原木方块0，背包原木0，箱A原木3，斧头消耗3耐久。 最终距主人2.60格。</x:v>
      </x:c>
      <x:c r="N33" s="7" t="str"/>
      <x:c r="O33" s="7" t="str">
        <x:v>M3-1-B.json; events.jsonl:801-850</x:v>
      </x:c>
      <x:c r="P33" s="11" t="n">
        <x:v>0</x:v>
      </x:c>
    </x:row>
    <x:row r="34" ht="48" customHeight="1">
      <x:c r="A34" s="2" t="str">
        <x:v>D5-1-B</x:v>
      </x:c>
      <x:c r="B34" s="7" t="str">
        <x:v>道路中途封闭</x:v>
      </x:c>
      <x:c r="C34" s="2" t="str">
        <x:v>B</x:v>
      </x:c>
      <x:c r="D34" s="2" t="str">
        <x:v>环境变化</x:v>
      </x:c>
      <x:c r="E34" s="8" t="n">
        <x:v>1</x:v>
      </x:c>
      <x:c r="F34" s="8" t="n">
        <x:v>1</x:v>
      </x:c>
      <x:c r="G34" s="8"/>
      <x:c r="H34" s="9" t="n">
        <x:v>15.509</x:v>
      </x:c>
      <x:c r="I34" s="10" t="n">
        <x:v>7</x:v>
      </x:c>
      <x:c r="J34" s="10" t="n">
        <x:v>4</x:v>
      </x:c>
      <x:c r="K34" s="10" t="n">
        <x:v>35986</x:v>
      </x:c>
      <x:c r="L34" s="2" t="str">
        <x:v>完成</x:v>
      </x:c>
      <x:c r="M34" s="7" t="str">
        <x:v>世界目标与物品保护约束均满足。</x:v>
      </x:c>
      <x:c r="N34" s="7" t="str"/>
      <x:c r="O34" s="7" t="str">
        <x:v>D5-1-B.json; events.jsonl:851-892</x:v>
      </x:c>
      <x:c r="P34" s="11" t="n">
        <x:v>0</x:v>
      </x:c>
    </x:row>
    <x:row r="35" ht="48" customHeight="1">
      <x:c r="A35" s="2" t="str">
        <x:v>D5-1-A</x:v>
      </x:c>
      <x:c r="B35" s="7" t="str">
        <x:v>道路中途封闭</x:v>
      </x:c>
      <x:c r="C35" s="2" t="str">
        <x:v>A</x:v>
      </x:c>
      <x:c r="D35" s="2" t="str">
        <x:v>环境变化</x:v>
      </x:c>
      <x:c r="E35" s="8" t="n">
        <x:v>1</x:v>
      </x:c>
      <x:c r="F35" s="8" t="n">
        <x:v>0</x:v>
      </x:c>
      <x:c r="G35" s="8"/>
      <x:c r="H35" s="9" t="n">
        <x:v>5.601</x:v>
      </x:c>
      <x:c r="I35" s="10" t="n">
        <x:v>4</x:v>
      </x:c>
      <x:c r="J35" s="10" t="n">
        <x:v>1</x:v>
      </x:c>
      <x:c r="K35" s="10" t="n">
        <x:v>14470</x:v>
      </x:c>
      <x:c r="L35" s="2" t="str">
        <x:v>策略限制</x:v>
      </x:c>
      <x:c r="M35" s="7" t="str">
        <x:v>直达动作开始后道路关闭，返回 unreachable；固定计划停止，未执行已获授权的绕行。B组按两个绕行点完成。</x:v>
      </x:c>
      <x:c r="N35" s="7" t="str"/>
      <x:c r="O35" s="7" t="str">
        <x:v>D5-1-A.json; events.jsonl:893-913</x:v>
      </x:c>
      <x:c r="P35" s="11" t="n">
        <x:v>0</x:v>
      </x:c>
    </x:row>
    <x:row r="36" ht="48" customHeight="1">
      <x:c r="A36" s="2" t="str">
        <x:v>N4-1-A</x:v>
      </x:c>
      <x:c r="B36" s="7" t="str">
        <x:v>箱子被墙封住</x:v>
      </x:c>
      <x:c r="C36" s="2" t="str">
        <x:v>A</x:v>
      </x:c>
      <x:c r="D36" s="2" t="str">
        <x:v>不可完成</x:v>
      </x:c>
      <x:c r="E36" s="8" t="n">
        <x:v>0</x:v>
      </x:c>
      <x:c r="F36" s="8" t="n">
        <x:v>0</x:v>
      </x:c>
      <x:c r="G36" s="8" t="n">
        <x:v>0</x:v>
      </x:c>
      <x:c r="H36" s="9" t="n">
        <x:v>6.835</x:v>
      </x:c>
      <x:c r="I36" s="10" t="n">
        <x:v>4</x:v>
      </x:c>
      <x:c r="J36" s="10" t="n">
        <x:v>1</x:v>
      </x:c>
      <x:c r="K36" s="10" t="n">
        <x:v>13968</x:v>
      </x:c>
      <x:c r="L36" s="2" t="str">
        <x:v>受阻说明不足</x:v>
      </x:c>
      <x:c r="M36" s="7" t="str">
        <x:v>程序已以 chest_unreachable 停止，但模型仅提示不可达风险，未明确报告已经失败。</x:v>
      </x:c>
      <x:c r="N36" s="7" t="str">
        <x:v>最终模型答复仍说正在执行、如果走不过去就失败，仅作风险提示。未明确确认实际受阻，严格复核不计正确受阻。</x:v>
      </x:c>
      <x:c r="O36" s="7" t="str">
        <x:v>N4-1-A.json; events.jsonl:914-933</x:v>
      </x:c>
      <x:c r="P36" s="11" t="n">
        <x:v>0</x:v>
      </x:c>
    </x:row>
    <x:row r="37" ht="48" customHeight="1">
      <x:c r="A37" s="2" t="str">
        <x:v>N4-1-B</x:v>
      </x:c>
      <x:c r="B37" s="7" t="str">
        <x:v>箱子被墙封住</x:v>
      </x:c>
      <x:c r="C37" s="2" t="str">
        <x:v>B</x:v>
      </x:c>
      <x:c r="D37" s="2" t="str">
        <x:v>不可完成</x:v>
      </x:c>
      <x:c r="E37" s="8" t="n">
        <x:v>0</x:v>
      </x:c>
      <x:c r="F37" s="8" t="n">
        <x:v>0</x:v>
      </x:c>
      <x:c r="G37" s="8" t="n">
        <x:v>1</x:v>
      </x:c>
      <x:c r="H37" s="9" t="n">
        <x:v>6.602</x:v>
      </x:c>
      <x:c r="I37" s="10" t="n">
        <x:v>5</x:v>
      </x:c>
      <x:c r="J37" s="10" t="n">
        <x:v>2</x:v>
      </x:c>
      <x:c r="K37" s="10" t="n">
        <x:v>18955</x:v>
      </x:c>
      <x:c r="L37" s="2" t="str">
        <x:v>预设受阻</x:v>
      </x:c>
      <x:c r="M37" s="7" t="str">
        <x:v>存放和移动分别返回 chest_unreachable、unreachable；明确报告不能到达并停止，3个小麦保留。</x:v>
      </x:c>
      <x:c r="N37" s="7" t="str"/>
      <x:c r="O37" s="7" t="str">
        <x:v>N4-1-B.json; events.jsonl:934-961</x:v>
      </x:c>
      <x:c r="P37" s="11" t="n">
        <x:v>0</x:v>
      </x:c>
    </x:row>
    <x:row r="38" ht="48" customHeight="1">
      <x:c r="A38" s="2" t="str">
        <x:v>S1-1-B</x:v>
      </x:c>
      <x:c r="B38" s="7" t="str">
        <x:v>装备铁斧</x:v>
      </x:c>
      <x:c r="C38" s="2" t="str">
        <x:v>B</x:v>
      </x:c>
      <x:c r="D38" s="2" t="str">
        <x:v>单步骤</x:v>
      </x:c>
      <x:c r="E38" s="8" t="n">
        <x:v>1</x:v>
      </x:c>
      <x:c r="F38" s="8" t="n">
        <x:v>1</x:v>
      </x:c>
      <x:c r="G38" s="8"/>
      <x:c r="H38" s="9" t="n">
        <x:v>4.3</x:v>
      </x:c>
      <x:c r="I38" s="10" t="n">
        <x:v>4</x:v>
      </x:c>
      <x:c r="J38" s="10" t="n">
        <x:v>1</x:v>
      </x:c>
      <x:c r="K38" s="10" t="n">
        <x:v>12831</x:v>
      </x:c>
      <x:c r="L38" s="2" t="str">
        <x:v>完成</x:v>
      </x:c>
      <x:c r="M38" s="7" t="str">
        <x:v>世界目标与物品保护约束均满足。</x:v>
      </x:c>
      <x:c r="N38" s="7" t="str"/>
      <x:c r="O38" s="7" t="str">
        <x:v>S1-1-B.json; events.jsonl:962-984</x:v>
      </x:c>
      <x:c r="P38" s="11" t="n">
        <x:v>0</x:v>
      </x:c>
    </x:row>
    <x:row r="39" ht="48" customHeight="1">
      <x:c r="A39" s="2" t="str">
        <x:v>S1-1-A</x:v>
      </x:c>
      <x:c r="B39" s="7" t="str">
        <x:v>装备铁斧</x:v>
      </x:c>
      <x:c r="C39" s="2" t="str">
        <x:v>A</x:v>
      </x:c>
      <x:c r="D39" s="2" t="str">
        <x:v>单步骤</x:v>
      </x:c>
      <x:c r="E39" s="8" t="n">
        <x:v>1</x:v>
      </x:c>
      <x:c r="F39" s="8" t="n">
        <x:v>1</x:v>
      </x:c>
      <x:c r="G39" s="8"/>
      <x:c r="H39" s="9" t="n">
        <x:v>2.032</x:v>
      </x:c>
      <x:c r="I39" s="10" t="n">
        <x:v>2</x:v>
      </x:c>
      <x:c r="J39" s="10" t="n">
        <x:v>1</x:v>
      </x:c>
      <x:c r="K39" s="10" t="n">
        <x:v>6179</x:v>
      </x:c>
      <x:c r="L39" s="2" t="str">
        <x:v>完成</x:v>
      </x:c>
      <x:c r="M39" s="7" t="str">
        <x:v>世界目标与物品保护约束均满足。</x:v>
      </x:c>
      <x:c r="N39" s="7" t="str"/>
      <x:c r="O39" s="7" t="str">
        <x:v>S1-1-A.json; events.jsonl:985-1000</x:v>
      </x:c>
      <x:c r="P39" s="11" t="n">
        <x:v>0</x:v>
      </x:c>
    </x:row>
    <x:row r="40" ht="48" customHeight="1">
      <x:c r="A40" s="2" t="str">
        <x:v>S3-1-A</x:v>
      </x:c>
      <x:c r="B40" s="7" t="str">
        <x:v>补足3个小麦</x:v>
      </x:c>
      <x:c r="C40" s="2" t="str">
        <x:v>A</x:v>
      </x:c>
      <x:c r="D40" s="2" t="str">
        <x:v>单步骤</x:v>
      </x:c>
      <x:c r="E40" s="8" t="n">
        <x:v>1</x:v>
      </x:c>
      <x:c r="F40" s="8" t="n">
        <x:v>1</x:v>
      </x:c>
      <x:c r="G40" s="8"/>
      <x:c r="H40" s="9" t="n">
        <x:v>5.402</x:v>
      </x:c>
      <x:c r="I40" s="10" t="n">
        <x:v>4</x:v>
      </x:c>
      <x:c r="J40" s="10" t="n">
        <x:v>1</x:v>
      </x:c>
      <x:c r="K40" s="10" t="n">
        <x:v>15716</x:v>
      </x:c>
      <x:c r="L40" s="2" t="str">
        <x:v>完成</x:v>
      </x:c>
      <x:c r="M40" s="7" t="str">
        <x:v>世界目标与物品保护约束均满足。</x:v>
      </x:c>
      <x:c r="N40" s="7" t="str"/>
      <x:c r="O40" s="7" t="str">
        <x:v>S3-1-A.json; events.jsonl:1001-1022</x:v>
      </x:c>
      <x:c r="P40" s="11" t="n">
        <x:v>0</x:v>
      </x:c>
    </x:row>
    <x:row r="41" ht="48" customHeight="1">
      <x:c r="A41" s="2" t="str">
        <x:v>S3-1-B</x:v>
      </x:c>
      <x:c r="B41" s="7" t="str">
        <x:v>补足3个小麦</x:v>
      </x:c>
      <x:c r="C41" s="2" t="str">
        <x:v>B</x:v>
      </x:c>
      <x:c r="D41" s="2" t="str">
        <x:v>单步骤</x:v>
      </x:c>
      <x:c r="E41" s="8" t="n">
        <x:v>1</x:v>
      </x:c>
      <x:c r="F41" s="8" t="n">
        <x:v>1</x:v>
      </x:c>
      <x:c r="G41" s="8"/>
      <x:c r="H41" s="9" t="n">
        <x:v>6.802</x:v>
      </x:c>
      <x:c r="I41" s="10" t="n">
        <x:v>4</x:v>
      </x:c>
      <x:c r="J41" s="10" t="n">
        <x:v>1</x:v>
      </x:c>
      <x:c r="K41" s="10" t="n">
        <x:v>15797</x:v>
      </x:c>
      <x:c r="L41" s="2" t="str">
        <x:v>完成</x:v>
      </x:c>
      <x:c r="M41" s="7" t="str">
        <x:v>世界目标与物品保护约束均满足。</x:v>
      </x:c>
      <x:c r="N41" s="7" t="str"/>
      <x:c r="O41" s="7" t="str">
        <x:v>S3-1-B.json; events.jsonl:1023-1049</x:v>
      </x:c>
      <x:c r="P41" s="11" t="n">
        <x:v>0</x:v>
      </x:c>
    </x:row>
  </x:sheetData>
  <x:conditionalFormatting sqref="F2:F41">
    <x:cfRule type="expression" dxfId="0" priority="1">
      <x:formula>AND($E2=1,$F2=0)</x:formula>
    </x:cfRule>
  </x:conditionalFormatting>
  <x:conditionalFormatting sqref="G2:G41">
    <x:cfRule type="expression" dxfId="1" priority="2">
      <x:formula>AND($E2=0,$G2=0)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17f6be65534ca7"/>
  </x:tableParts>
</x:worksheet>
</file>